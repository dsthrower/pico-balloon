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thrower/Documents/My Documents/Claude Context/Pico Balloons/Tracking Data/"/>
    </mc:Choice>
  </mc:AlternateContent>
  <xr:revisionPtr revIDLastSave="0" documentId="13_ncr:1_{C985D72F-C773-684C-832A-A7658FC69693}" xr6:coauthVersionLast="47" xr6:coauthVersionMax="47" xr10:uidLastSave="{00000000-0000-0000-0000-000000000000}"/>
  <bookViews>
    <workbookView xWindow="4360" yWindow="680" windowWidth="30200" windowHeight="20160" xr2:uid="{00000000-000D-0000-FFFF-FFFF00000000}"/>
  </bookViews>
  <sheets>
    <sheet name="Tracker" sheetId="1" r:id="rId1"/>
    <sheet name="Weight" sheetId="3" r:id="rId2"/>
    <sheet name="Flight Path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3" l="1"/>
  <c r="H7" i="3"/>
  <c r="H8" i="3"/>
  <c r="H9" i="3"/>
  <c r="F6" i="3"/>
  <c r="F7" i="3"/>
  <c r="F8" i="3"/>
  <c r="F9" i="3"/>
  <c r="F5" i="3"/>
  <c r="H5" i="3" s="1"/>
</calcChain>
</file>

<file path=xl/sharedStrings.xml><?xml version="1.0" encoding="utf-8"?>
<sst xmlns="http://schemas.openxmlformats.org/spreadsheetml/2006/main" count="96" uniqueCount="63">
  <si>
    <t>PICO Balloon Tracker</t>
  </si>
  <si>
    <t>KK7OWL</t>
  </si>
  <si>
    <t>Launch</t>
  </si>
  <si>
    <t>Lost Signal</t>
  </si>
  <si>
    <t>Miles</t>
  </si>
  <si>
    <t xml:space="preserve">Number of </t>
  </si>
  <si>
    <t>Number of</t>
  </si>
  <si>
    <t>General</t>
  </si>
  <si>
    <t>Date</t>
  </si>
  <si>
    <t>Channel</t>
  </si>
  <si>
    <t>Transmitter</t>
  </si>
  <si>
    <t>Band</t>
  </si>
  <si>
    <t>Balloon</t>
  </si>
  <si>
    <t>Stretched</t>
  </si>
  <si>
    <t>Gas</t>
  </si>
  <si>
    <t>Antenna</t>
  </si>
  <si>
    <t>Power</t>
  </si>
  <si>
    <t>Other</t>
  </si>
  <si>
    <t>Location</t>
  </si>
  <si>
    <t>Traveled</t>
  </si>
  <si>
    <t>World Circum.</t>
  </si>
  <si>
    <t>Days aloft</t>
  </si>
  <si>
    <t>Altitude</t>
  </si>
  <si>
    <t>Comments</t>
  </si>
  <si>
    <t>Live Map</t>
  </si>
  <si>
    <t>Traquito Jetpack</t>
  </si>
  <si>
    <t>20M</t>
  </si>
  <si>
    <t>H2</t>
  </si>
  <si>
    <t>Solar System</t>
  </si>
  <si>
    <t>View Live →</t>
  </si>
  <si>
    <t>PowerFilm</t>
  </si>
  <si>
    <t>(assign channel)</t>
  </si>
  <si>
    <t>PICO Balloon Tracker — Flight Paths</t>
  </si>
  <si>
    <t>Per flight: paste the path screenshot (Insert ▸ Pictures ▸ Place in Cell), and export KML from the Traquito dashboard into the repo folder, naming it as shown. Live Map opens the interactive Traquito map.</t>
  </si>
  <si>
    <t>Flight</t>
  </si>
  <si>
    <t>Launch Date</t>
  </si>
  <si>
    <t>KML File</t>
  </si>
  <si>
    <t>Path Screenshot</t>
  </si>
  <si>
    <t>Flight 1</t>
  </si>
  <si>
    <t>flight1_ch290.kml</t>
  </si>
  <si>
    <t>Flight 2</t>
  </si>
  <si>
    <t>flight2_ch291.kml</t>
  </si>
  <si>
    <t>Flight 3</t>
  </si>
  <si>
    <t>flight3_ch292.kml</t>
  </si>
  <si>
    <t>Flight 4</t>
  </si>
  <si>
    <t>flight4_ch___.kml</t>
  </si>
  <si>
    <t>Flight 5</t>
  </si>
  <si>
    <t>flight5_ch___.kml</t>
  </si>
  <si>
    <t>Note:  KML flie is the google earth path.  Export from live maps for an archive</t>
  </si>
  <si>
    <t>4625mm</t>
  </si>
  <si>
    <t>Weight</t>
  </si>
  <si>
    <t>Antennas</t>
  </si>
  <si>
    <t>Total</t>
  </si>
  <si>
    <t>Tracker</t>
  </si>
  <si>
    <t>Connections</t>
  </si>
  <si>
    <t>Payload</t>
  </si>
  <si>
    <t>Checked</t>
  </si>
  <si>
    <t>Ground</t>
  </si>
  <si>
    <t>Ground Info</t>
  </si>
  <si>
    <t xml:space="preserve">Ground Test </t>
  </si>
  <si>
    <t>Results</t>
  </si>
  <si>
    <t>Ground test PASS 2026-06-30: powered ~11:42, first spot 11:52z (~10 min); RX SLC + Tucson to 1590 km; SolAngle 63 deg correct; telemetry decoding clean.</t>
  </si>
  <si>
    <t>Ground test PASS 2026-06-30: first spot ~14 min; 8 RX stations to 1590 km (KW7MM/Tucson); best SNR -8 (K6VZK); SolAngle 52 deg correct; telemetry decoding clean.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</si>
</sst>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2"/>
      <name val="Aptos Narrow"/>
    </font>
    <font>
      <u/>
      <sz val="12"/>
      <color rgb="FF0000FF"/>
      <name val="Aptos Narrow"/>
    </font>
    <font>
      <i/>
      <sz val="12"/>
      <color rgb="FF808080"/>
      <name val="Aptos Narrow"/>
    </font>
    <font>
      <b/>
      <sz val="14"/>
      <name val="Aptos Narrow"/>
    </font>
    <font>
      <i/>
      <sz val="11"/>
      <name val="Aptos Narrow"/>
    </font>
    <font>
      <sz val="12"/>
      <name val="Aptos Narrow"/>
    </font>
    <font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1" fillId="0" borderId="0" xfId="0" applyFont="1" applyAlignment="1">
      <alignment horizontal="right"/>
    </xf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raquito.github.io/search/spots/dashboard/?band=20m&amp;channel=292&amp;callsign=KK7OWL" TargetMode="External"/><Relationship Id="rId2" Type="http://schemas.openxmlformats.org/officeDocument/2006/relationships/hyperlink" Target="https://traquito.github.io/search/spots/dashboard/?band=20m&amp;channel=291&amp;callsign=KK7OWL" TargetMode="External"/><Relationship Id="rId1" Type="http://schemas.openxmlformats.org/officeDocument/2006/relationships/hyperlink" Target="https://traquito.github.io/search/spots/dashboard/?band=20m&amp;channel=290&amp;callsign=KK7OW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traquito.github.io/search/spots/dashboard/?band=20m&amp;channel=292&amp;callsign=KK7OWL" TargetMode="External"/><Relationship Id="rId2" Type="http://schemas.openxmlformats.org/officeDocument/2006/relationships/hyperlink" Target="https://traquito.github.io/search/spots/dashboard/?band=20m&amp;channel=291&amp;callsign=KK7OWL" TargetMode="External"/><Relationship Id="rId1" Type="http://schemas.openxmlformats.org/officeDocument/2006/relationships/hyperlink" Target="https://traquito.github.io/search/spots/dashboard/?band=20m&amp;channel=290&amp;callsign=KK7OW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"/>
  <sheetViews>
    <sheetView tabSelected="1" zoomScale="111" workbookViewId="0">
      <selection activeCell="E9" sqref="E9"/>
    </sheetView>
  </sheetViews>
  <sheetFormatPr baseColWidth="10" defaultRowHeight="16"/>
  <cols>
    <col min="1" max="3" width="21.33203125" customWidth="1"/>
    <col min="4" max="4" width="10.83203125" style="5" customWidth="1"/>
    <col min="5" max="5" width="12" style="6" customWidth="1"/>
    <col min="6" max="6" width="14.33203125" style="5" bestFit="1" customWidth="1"/>
    <col min="7" max="7" width="13.1640625" style="5" customWidth="1"/>
    <col min="8" max="9" width="16.83203125" style="5" customWidth="1"/>
    <col min="10" max="11" width="20.6640625" style="5" customWidth="1"/>
    <col min="12" max="13" width="14" style="5" customWidth="1"/>
    <col min="14" max="14" width="16.5" style="5" customWidth="1"/>
    <col min="15" max="15" width="35.33203125" customWidth="1"/>
    <col min="16" max="17" width="10.83203125" style="4" customWidth="1"/>
    <col min="18" max="18" width="13" style="4" bestFit="1" customWidth="1"/>
    <col min="19" max="20" width="13" style="4" customWidth="1"/>
    <col min="21" max="21" width="84" style="4" customWidth="1"/>
    <col min="22" max="22" width="16" customWidth="1"/>
    <col min="24" max="24" width="73.83203125" customWidth="1"/>
  </cols>
  <sheetData>
    <row r="1" spans="1:24" ht="19" customHeight="1">
      <c r="A1" s="1" t="s">
        <v>0</v>
      </c>
      <c r="B1" s="1"/>
      <c r="C1" s="1"/>
    </row>
    <row r="2" spans="1:24" ht="19" customHeight="1">
      <c r="A2" s="2">
        <v>46203</v>
      </c>
      <c r="B2" s="2"/>
      <c r="C2" s="2"/>
    </row>
    <row r="3" spans="1:24">
      <c r="A3" s="3" t="s">
        <v>1</v>
      </c>
      <c r="B3" s="3"/>
      <c r="C3" s="3"/>
    </row>
    <row r="6" spans="1:24" s="7" customFormat="1">
      <c r="B6" s="7" t="s">
        <v>57</v>
      </c>
      <c r="D6" s="8" t="s">
        <v>2</v>
      </c>
      <c r="O6" s="8" t="s">
        <v>3</v>
      </c>
      <c r="P6" s="8" t="s">
        <v>3</v>
      </c>
      <c r="Q6" s="8" t="s">
        <v>4</v>
      </c>
      <c r="R6" s="8" t="s">
        <v>5</v>
      </c>
      <c r="S6" s="8" t="s">
        <v>6</v>
      </c>
      <c r="T6" s="8" t="s">
        <v>7</v>
      </c>
      <c r="X6" s="7" t="s">
        <v>59</v>
      </c>
    </row>
    <row r="7" spans="1:24" s="7" customFormat="1">
      <c r="A7" s="7" t="s">
        <v>34</v>
      </c>
      <c r="B7" s="7" t="s">
        <v>56</v>
      </c>
      <c r="C7" s="7" t="s">
        <v>58</v>
      </c>
      <c r="D7" s="8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50</v>
      </c>
      <c r="N7" s="7" t="s">
        <v>17</v>
      </c>
      <c r="O7" s="8" t="s">
        <v>8</v>
      </c>
      <c r="P7" s="8" t="s">
        <v>18</v>
      </c>
      <c r="Q7" s="8" t="s">
        <v>19</v>
      </c>
      <c r="R7" s="8" t="s">
        <v>20</v>
      </c>
      <c r="S7" s="8" t="s">
        <v>21</v>
      </c>
      <c r="T7" s="8" t="s">
        <v>22</v>
      </c>
      <c r="U7" s="7" t="s">
        <v>23</v>
      </c>
      <c r="V7" s="9" t="s">
        <v>24</v>
      </c>
      <c r="X7" s="7" t="s">
        <v>60</v>
      </c>
    </row>
    <row r="8" spans="1:24">
      <c r="A8" s="5">
        <v>1</v>
      </c>
      <c r="B8" s="6"/>
      <c r="C8" s="6"/>
      <c r="D8" s="6"/>
      <c r="E8" s="5">
        <v>291</v>
      </c>
      <c r="F8" s="5" t="s">
        <v>25</v>
      </c>
      <c r="G8" s="5" t="s">
        <v>26</v>
      </c>
      <c r="J8" s="5" t="s">
        <v>27</v>
      </c>
      <c r="K8" s="5" t="s">
        <v>49</v>
      </c>
      <c r="L8" s="5" t="s">
        <v>28</v>
      </c>
      <c r="O8" s="4"/>
      <c r="V8" s="10" t="s">
        <v>29</v>
      </c>
    </row>
    <row r="9" spans="1:24">
      <c r="A9" s="5">
        <v>2</v>
      </c>
      <c r="B9" s="6"/>
      <c r="C9" s="6"/>
      <c r="D9" s="6"/>
      <c r="E9" s="5"/>
      <c r="F9" s="5" t="s">
        <v>25</v>
      </c>
      <c r="G9" s="5" t="s">
        <v>26</v>
      </c>
      <c r="J9" s="5" t="s">
        <v>27</v>
      </c>
      <c r="K9" s="5" t="s">
        <v>49</v>
      </c>
      <c r="O9" s="4"/>
      <c r="V9" s="10" t="s">
        <v>29</v>
      </c>
    </row>
    <row r="10" spans="1:24">
      <c r="A10" s="5">
        <v>3</v>
      </c>
      <c r="B10" s="6"/>
      <c r="C10" s="6"/>
      <c r="D10" s="6"/>
      <c r="E10" s="5"/>
      <c r="F10" s="5" t="s">
        <v>25</v>
      </c>
      <c r="G10" s="5" t="s">
        <v>26</v>
      </c>
      <c r="J10" s="5" t="s">
        <v>27</v>
      </c>
      <c r="K10" s="5" t="s">
        <v>49</v>
      </c>
      <c r="O10" s="4"/>
      <c r="V10" s="10" t="s">
        <v>29</v>
      </c>
    </row>
    <row r="11" spans="1:24" ht="51">
      <c r="A11" s="5">
        <v>4</v>
      </c>
      <c r="B11" s="6">
        <v>46203</v>
      </c>
      <c r="C11" s="6"/>
      <c r="D11" s="6"/>
      <c r="E11" s="5">
        <v>290</v>
      </c>
      <c r="F11" s="5" t="s">
        <v>25</v>
      </c>
      <c r="G11" s="5" t="s">
        <v>26</v>
      </c>
      <c r="J11" s="5" t="s">
        <v>27</v>
      </c>
      <c r="K11" s="5" t="s">
        <v>49</v>
      </c>
      <c r="L11" s="5" t="s">
        <v>30</v>
      </c>
      <c r="O11" s="4"/>
      <c r="V11" s="11" t="s">
        <v>31</v>
      </c>
      <c r="X11" s="19" t="s">
        <v>62</v>
      </c>
    </row>
    <row r="12" spans="1:24" ht="51">
      <c r="A12" s="5">
        <v>5</v>
      </c>
      <c r="B12" s="6">
        <v>46203</v>
      </c>
      <c r="C12" s="6"/>
      <c r="D12" s="6"/>
      <c r="E12" s="5">
        <v>292</v>
      </c>
      <c r="F12" s="5" t="s">
        <v>25</v>
      </c>
      <c r="G12" s="5" t="s">
        <v>26</v>
      </c>
      <c r="J12" s="5" t="s">
        <v>27</v>
      </c>
      <c r="K12" s="5" t="s">
        <v>49</v>
      </c>
      <c r="L12" s="5" t="s">
        <v>30</v>
      </c>
      <c r="O12" s="4"/>
      <c r="V12" s="11" t="s">
        <v>31</v>
      </c>
      <c r="X12" s="18" t="s">
        <v>61</v>
      </c>
    </row>
    <row r="13" spans="1:24">
      <c r="A13" s="5"/>
      <c r="B13" s="5"/>
      <c r="C13" s="5"/>
      <c r="D13" s="6"/>
      <c r="E13" s="5"/>
      <c r="O13" s="4"/>
    </row>
  </sheetData>
  <hyperlinks>
    <hyperlink ref="V8" r:id="rId1" xr:uid="{00000000-0004-0000-0000-000000000000}"/>
    <hyperlink ref="V9" r:id="rId2" xr:uid="{00000000-0004-0000-0000-000001000000}"/>
    <hyperlink ref="V10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1AB22-6A7E-FB44-9621-B06B132CDAE6}">
  <dimension ref="B3:I9"/>
  <sheetViews>
    <sheetView workbookViewId="0">
      <selection activeCell="I5" sqref="I5"/>
    </sheetView>
  </sheetViews>
  <sheetFormatPr baseColWidth="10" defaultRowHeight="16"/>
  <cols>
    <col min="2" max="9" width="10.83203125" style="5"/>
  </cols>
  <sheetData>
    <row r="3" spans="2:8">
      <c r="F3" s="7" t="s">
        <v>55</v>
      </c>
    </row>
    <row r="4" spans="2:8" s="7" customFormat="1">
      <c r="B4" s="7" t="s">
        <v>34</v>
      </c>
      <c r="C4" s="7" t="s">
        <v>51</v>
      </c>
      <c r="D4" s="7" t="s">
        <v>53</v>
      </c>
      <c r="E4" s="7" t="s">
        <v>54</v>
      </c>
      <c r="F4" s="7" t="s">
        <v>52</v>
      </c>
      <c r="G4" s="7" t="s">
        <v>12</v>
      </c>
      <c r="H4" s="7" t="s">
        <v>52</v>
      </c>
    </row>
    <row r="5" spans="2:8">
      <c r="B5" s="5">
        <v>1</v>
      </c>
      <c r="C5" s="5">
        <v>6</v>
      </c>
      <c r="D5" s="5">
        <v>16</v>
      </c>
      <c r="F5" s="5">
        <f>SUM(C5:E5)</f>
        <v>22</v>
      </c>
      <c r="H5" s="5">
        <f>G5+F5</f>
        <v>22</v>
      </c>
    </row>
    <row r="6" spans="2:8">
      <c r="B6" s="5">
        <v>2</v>
      </c>
      <c r="C6" s="5">
        <v>6</v>
      </c>
      <c r="F6" s="5">
        <f t="shared" ref="F6:F9" si="0">SUM(C6:E6)</f>
        <v>6</v>
      </c>
      <c r="H6" s="5">
        <f t="shared" ref="H6:H9" si="1">G6+F6</f>
        <v>6</v>
      </c>
    </row>
    <row r="7" spans="2:8">
      <c r="B7" s="5">
        <v>3</v>
      </c>
      <c r="C7" s="5">
        <v>6</v>
      </c>
      <c r="F7" s="5">
        <f t="shared" si="0"/>
        <v>6</v>
      </c>
      <c r="H7" s="5">
        <f t="shared" si="1"/>
        <v>6</v>
      </c>
    </row>
    <row r="8" spans="2:8">
      <c r="B8" s="5">
        <v>4</v>
      </c>
      <c r="C8" s="5">
        <v>6</v>
      </c>
      <c r="D8" s="5">
        <v>12</v>
      </c>
      <c r="F8" s="5">
        <f t="shared" si="0"/>
        <v>18</v>
      </c>
      <c r="H8" s="5">
        <f t="shared" si="1"/>
        <v>18</v>
      </c>
    </row>
    <row r="9" spans="2:8">
      <c r="B9" s="5">
        <v>5</v>
      </c>
      <c r="C9" s="5">
        <v>6</v>
      </c>
      <c r="D9" s="5">
        <v>12</v>
      </c>
      <c r="F9" s="5">
        <f t="shared" si="0"/>
        <v>18</v>
      </c>
      <c r="H9" s="5">
        <f t="shared" si="1"/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A4" sqref="A4:XFD4"/>
    </sheetView>
  </sheetViews>
  <sheetFormatPr baseColWidth="10" defaultColWidth="8.83203125" defaultRowHeight="16"/>
  <cols>
    <col min="1" max="1" width="12" customWidth="1"/>
    <col min="2" max="2" width="10" customWidth="1"/>
    <col min="3" max="3" width="14" customWidth="1"/>
    <col min="4" max="4" width="16" customWidth="1"/>
    <col min="5" max="5" width="22" customWidth="1"/>
    <col min="6" max="6" width="70" customWidth="1"/>
  </cols>
  <sheetData>
    <row r="1" spans="1:6" ht="19">
      <c r="A1" s="12" t="s">
        <v>32</v>
      </c>
    </row>
    <row r="2" spans="1:6">
      <c r="A2" s="13" t="s">
        <v>33</v>
      </c>
    </row>
    <row r="3" spans="1:6">
      <c r="A3" t="s">
        <v>48</v>
      </c>
    </row>
    <row r="5" spans="1:6">
      <c r="A5" s="9" t="s">
        <v>34</v>
      </c>
      <c r="B5" s="9" t="s">
        <v>9</v>
      </c>
      <c r="C5" s="9" t="s">
        <v>35</v>
      </c>
      <c r="D5" s="9" t="s">
        <v>24</v>
      </c>
      <c r="E5" s="9" t="s">
        <v>36</v>
      </c>
      <c r="F5" s="9" t="s">
        <v>37</v>
      </c>
    </row>
    <row r="6" spans="1:6" ht="150" customHeight="1">
      <c r="A6" s="14" t="s">
        <v>38</v>
      </c>
      <c r="B6" s="14">
        <v>290</v>
      </c>
      <c r="C6" s="14"/>
      <c r="D6" s="10" t="s">
        <v>29</v>
      </c>
      <c r="E6" s="16" t="s">
        <v>39</v>
      </c>
      <c r="F6" s="15"/>
    </row>
    <row r="7" spans="1:6" ht="150" customHeight="1">
      <c r="A7" s="14" t="s">
        <v>40</v>
      </c>
      <c r="B7" s="14">
        <v>291</v>
      </c>
      <c r="C7" s="14"/>
      <c r="D7" s="10" t="s">
        <v>29</v>
      </c>
      <c r="E7" s="16" t="s">
        <v>41</v>
      </c>
      <c r="F7" s="15"/>
    </row>
    <row r="8" spans="1:6" ht="150" customHeight="1">
      <c r="A8" s="14" t="s">
        <v>42</v>
      </c>
      <c r="B8" s="14">
        <v>292</v>
      </c>
      <c r="C8" s="14"/>
      <c r="D8" s="10" t="s">
        <v>29</v>
      </c>
      <c r="E8" s="16" t="s">
        <v>43</v>
      </c>
      <c r="F8" s="15"/>
    </row>
    <row r="9" spans="1:6" ht="150" customHeight="1">
      <c r="A9" s="14" t="s">
        <v>44</v>
      </c>
      <c r="B9" s="14"/>
      <c r="C9" s="14"/>
      <c r="D9" s="11" t="s">
        <v>31</v>
      </c>
      <c r="E9" s="17" t="s">
        <v>45</v>
      </c>
      <c r="F9" s="15"/>
    </row>
    <row r="10" spans="1:6" ht="150" customHeight="1">
      <c r="A10" s="14" t="s">
        <v>46</v>
      </c>
      <c r="B10" s="14"/>
      <c r="C10" s="14"/>
      <c r="D10" s="11" t="s">
        <v>31</v>
      </c>
      <c r="E10" s="17" t="s">
        <v>47</v>
      </c>
      <c r="F10" s="15"/>
    </row>
  </sheetData>
  <hyperlinks>
    <hyperlink ref="D6" r:id="rId1" xr:uid="{00000000-0004-0000-0100-000000000000}"/>
    <hyperlink ref="D7" r:id="rId2" xr:uid="{00000000-0004-0000-0100-000001000000}"/>
    <hyperlink ref="D8" r:id="rId3" xr:uid="{00000000-0004-0000-0100-00000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Tracker</vt:lpstr>
      <vt:lpstr>Weight</vt:lpstr>
      <vt:lpstr>Flight 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Thrower</dc:creator>
  <cp:lastModifiedBy>David Thrower</cp:lastModifiedBy>
  <dcterms:created xsi:type="dcterms:W3CDTF">2026-06-30T15:12:36Z</dcterms:created>
  <dcterms:modified xsi:type="dcterms:W3CDTF">2026-06-30T20:18:18Z</dcterms:modified>
</cp:coreProperties>
</file>